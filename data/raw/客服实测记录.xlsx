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统计" sheetId="1" state="visible" r:id="rId1"/>
    <sheet xmlns:r="http://schemas.openxmlformats.org/officeDocument/2006/relationships" name="实测记录" sheetId="2" state="visible" r:id="rId2"/>
    <sheet xmlns:r="http://schemas.openxmlformats.org/officeDocument/2006/relationships" name="操作说明" sheetId="3" state="visible" r:id="rId3"/>
  </sheets>
  <definedNames>
    <definedName name="_xlnm._FilterDatabase" localSheetId="1" hidden="1">'实测记录'!$A$3:$G$33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libri"/>
      <family val="2"/>
      <color theme="1"/>
      <sz val="11"/>
      <scheme val="minor"/>
    </font>
    <font>
      <name val="微软雅黑"/>
      <b val="1"/>
      <color rgb="FFFFFFFF"/>
      <sz val="12"/>
    </font>
    <font>
      <name val="微软雅黑"/>
      <b val="1"/>
      <color rgb="FFFFFFFF"/>
      <sz val="11"/>
    </font>
    <font>
      <name val="微软雅黑"/>
      <sz val="11"/>
    </font>
    <font>
      <name val="微软雅黑"/>
      <b val="1"/>
      <sz val="11"/>
    </font>
    <font>
      <name val="微软雅黑"/>
      <b val="1"/>
      <color rgb="FF2F5597"/>
      <sz val="11"/>
    </font>
    <font>
      <name val="微软雅黑"/>
      <b val="1"/>
      <color rgb="FFFFFFFF"/>
      <sz val="13"/>
    </font>
    <font>
      <name val="微软雅黑"/>
      <b val="1"/>
      <color rgb="FF1A1A1A"/>
      <sz val="11"/>
    </font>
    <font>
      <name val="微软雅黑"/>
      <b val="1"/>
      <color rgb="FF2F5597"/>
      <sz val="12"/>
    </font>
  </fonts>
  <fills count="5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0" applyAlignment="1" pivotButton="0" quotePrefix="0" xfId="0">
      <alignment horizontal="right" vertical="center"/>
    </xf>
    <xf numFmtId="165" fontId="3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微软雅黑"/>
        <b val="1"/>
        <color rgb="FF9C0006"/>
        <sz val="11"/>
      </font>
      <fill>
        <patternFill patternType="solid">
          <fgColor rgb="FFFFC7CE"/>
          <bgColor rgb="FFFFC7CE"/>
        </patternFill>
      </fill>
    </dxf>
    <dxf>
      <font>
        <name val="微软雅黑"/>
        <color rgb="FF006100"/>
        <sz val="11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44" customWidth="1" min="5" max="5"/>
  </cols>
  <sheetData>
    <row r="1" ht="26" customHeight="1">
      <c r="A1" s="1" t="inlineStr">
        <is>
          <t>实测统计（自动计算，不要手改）</t>
        </is>
      </c>
      <c r="B1" s="2" t="n"/>
      <c r="C1" s="2" t="n"/>
      <c r="D1" s="2" t="n"/>
      <c r="E1" s="2" t="n"/>
    </row>
    <row r="2">
      <c r="A2" s="3" t="inlineStr">
        <is>
          <t>分类</t>
        </is>
      </c>
      <c r="B2" s="3" t="inlineStr">
        <is>
          <t>指标</t>
        </is>
      </c>
      <c r="C2" s="3" t="inlineStr">
        <is>
          <t>数值</t>
        </is>
      </c>
      <c r="D2" s="3" t="inlineStr">
        <is>
          <t>占答偏比</t>
        </is>
      </c>
      <c r="E2" s="3" t="inlineStr">
        <is>
          <t>说明</t>
        </is>
      </c>
    </row>
    <row r="3">
      <c r="A3" s="4" t="inlineStr">
        <is>
          <t>总览</t>
        </is>
      </c>
      <c r="B3" s="5" t="inlineStr">
        <is>
          <t>已完成判定轮数</t>
        </is>
      </c>
      <c r="C3" s="6">
        <f>COUNTIF(实测记录!$E$4:$E$33,"答对")+COUNTIF(实测记录!$E$4:$E$33,"答偏")</f>
        <v>30</v>
      </c>
      <c r="D3" s="7" t="n"/>
      <c r="E3" s="8" t="inlineStr">
        <is>
          <t>已判定「答对 / 答偏」的轮数</t>
        </is>
      </c>
    </row>
    <row r="4">
      <c r="A4" s="4" t="inlineStr">
        <is>
          <t>总览</t>
        </is>
      </c>
      <c r="B4" s="5" t="inlineStr">
        <is>
          <t>答对轮数</t>
        </is>
      </c>
      <c r="C4" s="6">
        <f>COUNTIF(实测记录!$E$4:$E$33,"答对")</f>
        <v>21</v>
      </c>
      <c r="D4" s="7" t="n"/>
      <c r="E4" s="8" t="inlineStr">
        <is>
          <t>结果列选“答对”的条数</t>
        </is>
      </c>
    </row>
    <row r="5">
      <c r="A5" s="4" t="inlineStr">
        <is>
          <t>总览</t>
        </is>
      </c>
      <c r="B5" s="5" t="inlineStr">
        <is>
          <t>答偏轮数</t>
        </is>
      </c>
      <c r="C5" s="6">
        <f>COUNTIF(实测记录!$E$4:$E$33,"答偏")</f>
        <v>9</v>
      </c>
      <c r="D5" s="7" t="n"/>
      <c r="E5" s="8" t="inlineStr">
        <is>
          <t>结果列选“答偏”的条数</t>
        </is>
      </c>
    </row>
    <row r="6">
      <c r="A6" s="4" t="inlineStr">
        <is>
          <t>总览</t>
        </is>
      </c>
      <c r="B6" s="9" t="inlineStr">
        <is>
          <t>答偏率</t>
        </is>
      </c>
      <c r="C6" s="10">
        <f>IF(OR(C3="",C3=0),"",C5/C3)</f>
        <v>0.3</v>
      </c>
      <c r="D6" s="7" t="n"/>
      <c r="E6" s="8" t="inlineStr">
        <is>
          <t>答偏轮数 ÷ 实测总轮数</t>
        </is>
      </c>
    </row>
    <row r="7">
      <c r="A7" s="4" t="inlineStr">
        <is>
          <t>归因</t>
        </is>
      </c>
      <c r="B7" s="5" t="inlineStr">
        <is>
          <t>语料未覆盖（答非所问）</t>
        </is>
      </c>
      <c r="C7" s="6">
        <f>COUNTIF(实测记录!$F$4:$F$33,"语料未覆盖")</f>
        <v>1</v>
      </c>
      <c r="D7" s="7">
        <f>IF(OR($C$5="",$C$5=0),"",C7/$C$5)</f>
        <v>0.1111111111111111</v>
      </c>
      <c r="E7" s="8" t="inlineStr">
        <is>
          <t>AI 答得通顺，但不是你问的那件事</t>
        </is>
      </c>
    </row>
    <row r="8">
      <c r="A8" s="4" t="inlineStr">
        <is>
          <t>归因</t>
        </is>
      </c>
      <c r="B8" s="5" t="inlineStr">
        <is>
          <t>知识库缺失（答不上来）</t>
        </is>
      </c>
      <c r="C8" s="6">
        <f>COUNTIF(实测记录!$F$4:$F$33,"知识库缺失")</f>
        <v>1</v>
      </c>
      <c r="D8" s="7">
        <f>IF(OR($C$5="",$C$5=0),"",C8/$C$5)</f>
        <v>0.1111111111111111</v>
      </c>
      <c r="E8" s="8" t="inlineStr">
        <is>
          <t>AI 直接说不知道 / 让找人工</t>
        </is>
      </c>
    </row>
    <row r="9">
      <c r="A9" s="4" t="inlineStr">
        <is>
          <t>归因</t>
        </is>
      </c>
      <c r="B9" s="5" t="inlineStr">
        <is>
          <t>意图识别错（理解偏了）</t>
        </is>
      </c>
      <c r="C9" s="6">
        <f>COUNTIF(实测记录!$F$4:$F$33,"意图识别错")</f>
        <v>7</v>
      </c>
      <c r="D9" s="7">
        <f>IF(OR($C$5="",$C$5=0),"",C9/$C$5)</f>
        <v>0.7777777777777778</v>
      </c>
      <c r="E9" s="8" t="inlineStr">
        <is>
          <t>AI 理解成了另一件事，方向错了</t>
        </is>
      </c>
    </row>
    <row r="10">
      <c r="A10" s="4" t="inlineStr">
        <is>
          <t>场景</t>
        </is>
      </c>
      <c r="B10" s="5" t="inlineStr">
        <is>
          <t>退款 · 答偏数</t>
        </is>
      </c>
      <c r="C10" s="6">
        <f>COUNTIFS(实测记录!$B$4:$B$33,"退款",实测记录!$E$4:$E$33,"答偏")</f>
        <v>3</v>
      </c>
      <c r="D10" s="7">
        <f>IF(OR($C$5="",$C$5=0),"",C10/$C$5)</f>
        <v>0.3333333333333333</v>
      </c>
      <c r="E10" s="8" t="inlineStr">
        <is>
          <t>退款场景里答偏了几轮</t>
        </is>
      </c>
    </row>
    <row r="11">
      <c r="A11" s="4" t="inlineStr">
        <is>
          <t>场景</t>
        </is>
      </c>
      <c r="B11" s="5" t="inlineStr">
        <is>
          <t>改单 · 答偏数</t>
        </is>
      </c>
      <c r="C11" s="6">
        <f>COUNTIFS(实测记录!$B$4:$B$33,"改单",实测记录!$E$4:$E$33,"答偏")</f>
        <v>1</v>
      </c>
      <c r="D11" s="7">
        <f>IF(OR($C$5="",$C$5=0),"",C11/$C$5)</f>
        <v>0.1111111111111111</v>
      </c>
      <c r="E11" s="8" t="inlineStr">
        <is>
          <t>改单场景里答偏了几轮</t>
        </is>
      </c>
    </row>
    <row r="12">
      <c r="A12" s="4" t="inlineStr">
        <is>
          <t>场景</t>
        </is>
      </c>
      <c r="B12" s="5" t="inlineStr">
        <is>
          <t>物流 · 答偏数</t>
        </is>
      </c>
      <c r="C12" s="6">
        <f>COUNTIFS(实测记录!$B$4:$B$33,"物流",实测记录!$E$4:$E$33,"答偏")</f>
        <v>4</v>
      </c>
      <c r="D12" s="7">
        <f>IF(OR($C$5="",$C$5=0),"",C12/$C$5)</f>
        <v>0.4444444444444444</v>
      </c>
      <c r="E12" s="8" t="inlineStr">
        <is>
          <t>物流场景里答偏了几轮</t>
        </is>
      </c>
    </row>
    <row r="13">
      <c r="A13" s="4" t="inlineStr">
        <is>
          <t>场景</t>
        </is>
      </c>
      <c r="B13" s="5" t="inlineStr">
        <is>
          <t>催件 · 答偏数</t>
        </is>
      </c>
      <c r="C13" s="6">
        <f>COUNTIFS(实测记录!$B$4:$B$33,"催件",实测记录!$E$4:$E$33,"答偏")</f>
        <v>1</v>
      </c>
      <c r="D13" s="7">
        <f>IF(OR($C$5="",$C$5=0),"",C13/$C$5)</f>
        <v>0.1111111111111111</v>
      </c>
      <c r="E13" s="8" t="inlineStr">
        <is>
          <t>催件场景里答偏了几轮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34" customWidth="1" min="4" max="4"/>
    <col width="9" customWidth="1" min="5" max="5"/>
    <col width="16" customWidth="1" min="6" max="6"/>
    <col width="36" customWidth="1" min="7" max="7"/>
  </cols>
  <sheetData>
    <row r="1" ht="30" customHeight="1">
      <c r="A1" s="11" t="inlineStr">
        <is>
          <t>AI 客服应答实测记录</t>
        </is>
      </c>
      <c r="B1" s="12" t="n"/>
      <c r="C1" s="12" t="n"/>
      <c r="D1" s="12" t="n"/>
      <c r="E1" s="12" t="n"/>
      <c r="F1" s="12" t="n"/>
      <c r="G1" s="12" t="n"/>
    </row>
    <row r="2">
      <c r="A2" s="13" t="inlineStr">
        <is>
          <t>被测平台</t>
        </is>
      </c>
      <c r="B2" s="4" t="inlineStr">
        <is>
          <t>支付宝「我的客服」（蚂蚁智服）</t>
        </is>
      </c>
      <c r="C2" s="13" t="inlineStr">
        <is>
          <t>测试日期</t>
        </is>
      </c>
      <c r="D2" s="14" t="inlineStr">
        <is>
          <t>2026-09-29</t>
        </is>
      </c>
    </row>
    <row r="3" ht="24" customHeight="1">
      <c r="A3" s="15" t="inlineStr">
        <is>
          <t>序号</t>
        </is>
      </c>
      <c r="B3" s="15" t="inlineStr">
        <is>
          <t>场景</t>
        </is>
      </c>
      <c r="C3" s="15" t="inlineStr">
        <is>
          <t>我的提问</t>
        </is>
      </c>
      <c r="D3" s="15" t="inlineStr">
        <is>
          <t>AI 的回答（摘要）</t>
        </is>
      </c>
      <c r="E3" s="15" t="inlineStr">
        <is>
          <t>结果</t>
        </is>
      </c>
      <c r="F3" s="15" t="inlineStr">
        <is>
          <t>错因分类</t>
        </is>
      </c>
      <c r="G3" s="15" t="inlineStr">
        <is>
          <t>我的判断与更好的答法</t>
        </is>
      </c>
    </row>
    <row r="4">
      <c r="A4" s="6">
        <f>ROW()-3</f>
        <v>1</v>
      </c>
      <c r="B4" s="6" t="inlineStr">
        <is>
          <t>退款</t>
        </is>
      </c>
      <c r="C4" s="16" t="inlineStr">
        <is>
          <t>转账转错了能退回来吗</t>
        </is>
      </c>
      <c r="D4" s="16" t="inlineStr">
        <is>
          <t>先让核对最近转账记录、选一笔订单，未直接回答转错能否退回。</t>
        </is>
      </c>
      <c r="E4" s="6" t="inlineStr">
        <is>
          <t>答偏</t>
        </is>
      </c>
      <c r="F4" s="6" t="inlineStr">
        <is>
          <t>意图识别错</t>
        </is>
      </c>
      <c r="G4" s="16" t="inlineStr">
        <is>
          <t>规则型问题被当成个人数据查询。应先给结论：对方未收款可协商退回，已收款需自行沟通或走客服申诉，再提查订单。交叉验证：同一知识换个问法（第2题）就答对，说明知识有、路由错。</t>
        </is>
      </c>
    </row>
    <row r="5">
      <c r="A5" s="6">
        <f>ROW()-3</f>
        <v>2</v>
      </c>
      <c r="B5" s="6" t="inlineStr">
        <is>
          <t>退款</t>
        </is>
      </c>
      <c r="C5" s="16" t="inlineStr">
        <is>
          <t>转账失败的钱多久退回</t>
        </is>
      </c>
      <c r="D5" s="16" t="inlineStr">
        <is>
          <t>说明转账失败资金会原路退回、一般实时到账，超时未到会原路返回，并给出查转账记录路径。</t>
        </is>
      </c>
      <c r="E5" s="6" t="inlineStr">
        <is>
          <t>答对</t>
        </is>
      </c>
      <c r="F5" s="6" t="inlineStr">
        <is>
          <t>不适用</t>
        </is>
      </c>
      <c r="G5" s="16" t="inlineStr">
        <is>
          <t>结论在前、时间口径明确。与第1题同知识域，换问法即答对，反证第1题属路由问题而非知识缺失。</t>
        </is>
      </c>
    </row>
    <row r="6">
      <c r="A6" s="6">
        <f>ROW()-3</f>
        <v>3</v>
      </c>
      <c r="B6" s="6" t="inlineStr">
        <is>
          <t>退款</t>
        </is>
      </c>
      <c r="C6" s="16" t="inlineStr">
        <is>
          <t>花呗退款是退到哪里</t>
        </is>
      </c>
      <c r="D6" s="16" t="inlineStr">
        <is>
          <t>按支付方式分支说明：花呗支付退回花呗额度，余额支付退回余额，银行卡支付退回银行卡。</t>
        </is>
      </c>
      <c r="E6" s="6" t="inlineStr">
        <is>
          <t>答对</t>
        </is>
      </c>
      <c r="F6" s="6" t="inlineStr">
        <is>
          <t>不适用</t>
        </is>
      </c>
      <c r="G6" s="16" t="inlineStr">
        <is>
          <t>典型「条件→结果」分支结构，本轮正面样本之一。</t>
        </is>
      </c>
    </row>
    <row r="7">
      <c r="A7" s="6">
        <f>ROW()-3</f>
        <v>4</v>
      </c>
      <c r="B7" s="6" t="inlineStr">
        <is>
          <t>退款</t>
        </is>
      </c>
      <c r="C7" s="16" t="inlineStr">
        <is>
          <t>余额宝转出要多久到账</t>
        </is>
      </c>
      <c r="D7" s="16" t="inlineStr">
        <is>
          <t>分两档给时长：快速转出当日到账（日限1万元）、普通转出T+1个交易日。</t>
        </is>
      </c>
      <c r="E7" s="6" t="inlineStr">
        <is>
          <t>答对</t>
        </is>
      </c>
      <c r="F7" s="6" t="inlineStr">
        <is>
          <t>不适用</t>
        </is>
      </c>
      <c r="G7" s="16" t="inlineStr">
        <is>
          <t>分类分档给时长，口径清晰可直接采信。</t>
        </is>
      </c>
    </row>
    <row r="8">
      <c r="A8" s="6">
        <f>ROW()-3</f>
        <v>5</v>
      </c>
      <c r="B8" s="6" t="inlineStr">
        <is>
          <t>退款</t>
        </is>
      </c>
      <c r="C8" s="16" t="inlineStr">
        <is>
          <t>自动续费扣的钱能退吗</t>
        </is>
      </c>
      <c r="D8" s="16" t="inlineStr">
        <is>
          <t>未回答能否退款，转而展示如何关闭自动续费、查询扣款记录。</t>
        </is>
      </c>
      <c r="E8" s="6" t="inlineStr">
        <is>
          <t>答偏</t>
        </is>
      </c>
      <c r="F8" s="6" t="inlineStr">
        <is>
          <t>意图识别错</t>
        </is>
      </c>
      <c r="G8" s="16" t="inlineStr">
        <is>
          <t>问「能不能退」，答「怎么关」——把诉求理解成关闭续费。应先给结论（已扣费用原则上不退，可与商家协商或申诉），再附关闭路径。</t>
        </is>
      </c>
    </row>
    <row r="9">
      <c r="A9" s="6">
        <f>ROW()-3</f>
        <v>6</v>
      </c>
      <c r="B9" s="6" t="inlineStr">
        <is>
          <t>退款</t>
        </is>
      </c>
      <c r="C9" s="16" t="inlineStr">
        <is>
          <t>退款显示成功但没收到怎么办</t>
        </is>
      </c>
      <c r="D9" s="16" t="inlineStr">
        <is>
          <t>按到账渠道说明延迟原因，给出核对账户流水与联系客服的排查路径。</t>
        </is>
      </c>
      <c r="E9" s="6" t="inlineStr">
        <is>
          <t>答对</t>
        </is>
      </c>
      <c r="F9" s="6" t="inlineStr">
        <is>
          <t>不适用</t>
        </is>
      </c>
      <c r="G9" s="16" t="inlineStr">
        <is>
          <t>给了排查路径+结论，可用。</t>
        </is>
      </c>
    </row>
    <row r="10">
      <c r="A10" s="6">
        <f>ROW()-3</f>
        <v>7</v>
      </c>
      <c r="B10" s="6" t="inlineStr">
        <is>
          <t>退款</t>
        </is>
      </c>
      <c r="C10" s="16" t="inlineStr">
        <is>
          <t>提现要收手续费吗</t>
        </is>
      </c>
      <c r="D10" s="16" t="inlineStr">
        <is>
          <t>说明余额提现免手续费及限额规则，并区分不同资金来源的口径。</t>
        </is>
      </c>
      <c r="E10" s="6" t="inlineStr">
        <is>
          <t>答对</t>
        </is>
      </c>
      <c r="F10" s="6" t="inlineStr">
        <is>
          <t>不适用</t>
        </is>
      </c>
      <c r="G10" s="16" t="inlineStr">
        <is>
          <t>规则类问题直接作答，结论明确。</t>
        </is>
      </c>
    </row>
    <row r="11">
      <c r="A11" s="6">
        <f>ROW()-3</f>
        <v>8</v>
      </c>
      <c r="B11" s="6" t="inlineStr">
        <is>
          <t>退款</t>
        </is>
      </c>
      <c r="C11" s="16" t="inlineStr">
        <is>
          <t>转账到银行卡多久能到</t>
        </is>
      </c>
      <c r="D11" s="16" t="inlineStr">
        <is>
          <t>未直接给到账时长，导流到查询具体转账记录的订单详情。</t>
        </is>
      </c>
      <c r="E11" s="6" t="inlineStr">
        <is>
          <t>答偏</t>
        </is>
      </c>
      <c r="F11" s="6" t="inlineStr">
        <is>
          <t>意图识别错</t>
        </is>
      </c>
      <c r="G11" s="16" t="inlineStr">
        <is>
          <t>与第1题同型：规则问句被导向个人订单查询。应先给分档时长（2小时/次日等）再提查订单。规律：问句一旦含「我账户里的动作」，就容易触发查询分支，属路由层系统性偏差。</t>
        </is>
      </c>
    </row>
    <row r="12">
      <c r="A12" s="6">
        <f>ROW()-3</f>
        <v>9</v>
      </c>
      <c r="B12" s="6" t="inlineStr">
        <is>
          <t>改单</t>
        </is>
      </c>
      <c r="C12" s="16" t="inlineStr">
        <is>
          <t>怎么修改绑定的手机号</t>
        </is>
      </c>
      <c r="D12" s="16" t="inlineStr">
        <is>
          <t>给出「设置→账号与安全→手机号」的完整路径，并提示需原手机号验证。</t>
        </is>
      </c>
      <c r="E12" s="6" t="inlineStr">
        <is>
          <t>答对</t>
        </is>
      </c>
      <c r="F12" s="6" t="inlineStr">
        <is>
          <t>不适用</t>
        </is>
      </c>
      <c r="G12" s="16" t="inlineStr">
        <is>
          <t>路径完整，可直接照做。</t>
        </is>
      </c>
    </row>
    <row r="13">
      <c r="A13" s="6">
        <f>ROW()-3</f>
        <v>10</v>
      </c>
      <c r="B13" s="6" t="inlineStr">
        <is>
          <t>改单</t>
        </is>
      </c>
      <c r="C13" s="16" t="inlineStr">
        <is>
          <t>实名信息认证错了能改吗</t>
        </is>
      </c>
      <c r="D13" s="16" t="inlineStr">
        <is>
          <t>说明实名信息原则上不可自行修改，需走人工/申诉通道并提供材料。</t>
        </is>
      </c>
      <c r="E13" s="6" t="inlineStr">
        <is>
          <t>答对</t>
        </is>
      </c>
      <c r="F13" s="6" t="inlineStr">
        <is>
          <t>不适用</t>
        </is>
      </c>
      <c r="G13" s="16" t="inlineStr">
        <is>
          <t>结论明确，并给了替代路径。</t>
        </is>
      </c>
    </row>
    <row r="14">
      <c r="A14" s="6">
        <f>ROW()-3</f>
        <v>11</v>
      </c>
      <c r="B14" s="6" t="inlineStr">
        <is>
          <t>改单</t>
        </is>
      </c>
      <c r="C14" s="16" t="inlineStr">
        <is>
          <t>怎么更换绑定的银行卡</t>
        </is>
      </c>
      <c r="D14" s="16" t="inlineStr">
        <is>
          <t>给出银行卡管理→解绑/添加的操作路径与注意事项。</t>
        </is>
      </c>
      <c r="E14" s="6" t="inlineStr">
        <is>
          <t>答对</t>
        </is>
      </c>
      <c r="F14" s="6" t="inlineStr">
        <is>
          <t>不适用</t>
        </is>
      </c>
      <c r="G14" s="16" t="inlineStr">
        <is>
          <t>路径完整。</t>
        </is>
      </c>
    </row>
    <row r="15">
      <c r="A15" s="6">
        <f>ROW()-3</f>
        <v>12</v>
      </c>
      <c r="B15" s="6" t="inlineStr">
        <is>
          <t>改单</t>
        </is>
      </c>
      <c r="C15" s="16" t="inlineStr">
        <is>
          <t>付款方式能调整顺序吗</t>
        </is>
      </c>
      <c r="D15" s="16" t="inlineStr">
        <is>
          <t>说明可在支付设置里调整扣款顺序，并给出设置路径。</t>
        </is>
      </c>
      <c r="E15" s="6" t="inlineStr">
        <is>
          <t>答对</t>
        </is>
      </c>
      <c r="F15" s="6" t="inlineStr">
        <is>
          <t>不适用</t>
        </is>
      </c>
      <c r="G15" s="16" t="inlineStr">
        <is>
          <t>路径完整。</t>
        </is>
      </c>
    </row>
    <row r="16">
      <c r="A16" s="6">
        <f>ROW()-3</f>
        <v>13</v>
      </c>
      <c r="B16" s="6" t="inlineStr">
        <is>
          <t>改单</t>
        </is>
      </c>
      <c r="C16" s="16" t="inlineStr">
        <is>
          <t>免密支付的额度怎么改</t>
        </is>
      </c>
      <c r="D16" s="16" t="inlineStr">
        <is>
          <t>给出免密支付/自动扣款页面的额度与限额修改路径。</t>
        </is>
      </c>
      <c r="E16" s="6" t="inlineStr">
        <is>
          <t>答对</t>
        </is>
      </c>
      <c r="F16" s="6" t="inlineStr">
        <is>
          <t>不适用</t>
        </is>
      </c>
      <c r="G16" s="16" t="inlineStr">
        <is>
          <t>路径完整。</t>
        </is>
      </c>
    </row>
    <row r="17">
      <c r="A17" s="6">
        <f>ROW()-3</f>
        <v>14</v>
      </c>
      <c r="B17" s="6" t="inlineStr">
        <is>
          <t>改单</t>
        </is>
      </c>
      <c r="C17" s="16" t="inlineStr">
        <is>
          <t>怎么关闭自动续费</t>
        </is>
      </c>
      <c r="D17" s="16" t="inlineStr">
        <is>
          <t>按「免密支付/自动扣款」入口逐条列出关闭步骤，提示需逐项关闭签约。</t>
        </is>
      </c>
      <c r="E17" s="6" t="inlineStr">
        <is>
          <t>答对</t>
        </is>
      </c>
      <c r="F17" s="6" t="inlineStr">
        <is>
          <t>不适用</t>
        </is>
      </c>
      <c r="G17" s="16" t="inlineStr">
        <is>
          <t>与第5题同属自动续费话题，此题答得干净——证明知识层有覆盖，第5题是问法命中了错误分支。</t>
        </is>
      </c>
    </row>
    <row r="18">
      <c r="A18" s="6">
        <f>ROW()-3</f>
        <v>15</v>
      </c>
      <c r="B18" s="6" t="inlineStr">
        <is>
          <t>改单</t>
        </is>
      </c>
      <c r="C18" s="16" t="inlineStr">
        <is>
          <t>怎么修改登录密码</t>
        </is>
      </c>
      <c r="D18" s="16" t="inlineStr">
        <is>
          <t>给出「安全设置→登录密码」的修改路径与验证方式。</t>
        </is>
      </c>
      <c r="E18" s="6" t="inlineStr">
        <is>
          <t>答对</t>
        </is>
      </c>
      <c r="F18" s="6" t="inlineStr">
        <is>
          <t>不适用</t>
        </is>
      </c>
      <c r="G18" s="16" t="inlineStr">
        <is>
          <t>路径完整。此题曾在长会话中被兜底转人工，新开对话后正常回复，说明长会话上下文会污染路由决策。</t>
        </is>
      </c>
    </row>
    <row r="19">
      <c r="A19" s="6">
        <f>ROW()-3</f>
        <v>16</v>
      </c>
      <c r="B19" s="6" t="inlineStr">
        <is>
          <t>改单</t>
        </is>
      </c>
      <c r="C19" s="16" t="inlineStr">
        <is>
          <t>手机号注销了怎么换绑</t>
        </is>
      </c>
      <c r="D19" s="16" t="inlineStr">
        <is>
          <t>沿用常规换绑模板，要求用原手机号接收验证码，未识别「原手机号已注销」这一前提。</t>
        </is>
      </c>
      <c r="E19" s="6" t="inlineStr">
        <is>
          <t>答偏</t>
        </is>
      </c>
      <c r="F19" s="6" t="inlineStr">
        <is>
          <t>语料未覆盖</t>
        </is>
      </c>
      <c r="G19" s="16" t="inlineStr">
        <is>
          <t>模板复用忽略了用户前提条件。正确应答应给「原号码不可用」分支：走人工核验/申诉换绑。这是条件分支缺失，不是知识缺失。</t>
        </is>
      </c>
    </row>
    <row r="20">
      <c r="A20" s="6">
        <f>ROW()-3</f>
        <v>17</v>
      </c>
      <c r="B20" s="6" t="inlineStr">
        <is>
          <t>物流</t>
        </is>
      </c>
      <c r="C20" s="16" t="inlineStr">
        <is>
          <t>怎么看账户状态是否正常</t>
        </is>
      </c>
      <c r="D20" s="16" t="inlineStr">
        <is>
          <t>给出账户与安全页面的状态查看入口，并列出正常状态的表现。</t>
        </is>
      </c>
      <c r="E20" s="6" t="inlineStr">
        <is>
          <t>答对</t>
        </is>
      </c>
      <c r="F20" s="6" t="inlineStr">
        <is>
          <t>不适用</t>
        </is>
      </c>
      <c r="G20" s="16" t="inlineStr">
        <is>
          <t>路径完整。</t>
        </is>
      </c>
    </row>
    <row r="21">
      <c r="A21" s="6">
        <f>ROW()-3</f>
        <v>18</v>
      </c>
      <c r="B21" s="6" t="inlineStr">
        <is>
          <t>物流</t>
        </is>
      </c>
      <c r="C21" s="16" t="inlineStr">
        <is>
          <t>账户被限制一般是什么原因</t>
        </is>
      </c>
      <c r="D21" s="16" t="inlineStr">
        <is>
          <t>未回答常见限制原因，转为查询该账户当前是否存在限制。</t>
        </is>
      </c>
      <c r="E21" s="6" t="inlineStr">
        <is>
          <t>答偏</t>
        </is>
      </c>
      <c r="F21" s="6" t="inlineStr">
        <is>
          <t>意图识别错</t>
        </is>
      </c>
      <c r="G21" s="16" t="inlineStr">
        <is>
          <t>规则询问被当成个人账户诊断。应先列常见原因（异常登录、风控、实名问题等）再提示自查。与第1、8题同属一个路由偏差。</t>
        </is>
      </c>
    </row>
    <row r="22">
      <c r="A22" s="6">
        <f>ROW()-3</f>
        <v>19</v>
      </c>
      <c r="B22" s="6" t="inlineStr">
        <is>
          <t>物流</t>
        </is>
      </c>
      <c r="C22" s="16" t="inlineStr">
        <is>
          <t>实名认证审核要多久</t>
        </is>
      </c>
      <c r="D22" s="16" t="inlineStr">
        <is>
          <t>未给审核时长，转向查询该账户的实名审核状态。</t>
        </is>
      </c>
      <c r="E22" s="6" t="inlineStr">
        <is>
          <t>答偏</t>
        </is>
      </c>
      <c r="F22" s="6" t="inlineStr">
        <is>
          <t>意图识别错</t>
        </is>
      </c>
      <c r="G22" s="16" t="inlineStr">
        <is>
          <t>同型偏差。应先给时长口径（一般实时或1–3个工作日）。用户二次以显式假设句「如果我的账户被冻结了」重问，答复仍无变化，证明走的是固定分支而非个性化判断。</t>
        </is>
      </c>
    </row>
    <row r="23">
      <c r="A23" s="6">
        <f>ROW()-3</f>
        <v>20</v>
      </c>
      <c r="B23" s="6" t="inlineStr">
        <is>
          <t>物流</t>
        </is>
      </c>
      <c r="C23" s="16" t="inlineStr">
        <is>
          <t>花呗额度多久评估一次</t>
        </is>
      </c>
      <c r="D23" s="16" t="inlineStr">
        <is>
          <t>说明系统会定期评估、不接受人工调整，给出大致评估周期。</t>
        </is>
      </c>
      <c r="E23" s="6" t="inlineStr">
        <is>
          <t>答对</t>
        </is>
      </c>
      <c r="F23" s="6" t="inlineStr">
        <is>
          <t>不适用</t>
        </is>
      </c>
      <c r="G23" s="16" t="inlineStr">
        <is>
          <t>结论明确。</t>
        </is>
      </c>
    </row>
    <row r="24">
      <c r="A24" s="6">
        <f>ROW()-3</f>
        <v>21</v>
      </c>
      <c r="B24" s="6" t="inlineStr">
        <is>
          <t>物流</t>
        </is>
      </c>
      <c r="C24" s="16" t="inlineStr">
        <is>
          <t>芝麻信用分什么时候更新</t>
        </is>
      </c>
      <c r="D24" s="16" t="inlineStr">
        <is>
          <t>说明每月固定日期更新，并简述评估维度。</t>
        </is>
      </c>
      <c r="E24" s="6" t="inlineStr">
        <is>
          <t>答对</t>
        </is>
      </c>
      <c r="F24" s="6" t="inlineStr">
        <is>
          <t>不适用</t>
        </is>
      </c>
      <c r="G24" s="16" t="inlineStr">
        <is>
          <t>时间口径明确。</t>
        </is>
      </c>
    </row>
    <row r="25">
      <c r="A25" s="6">
        <f>ROW()-3</f>
        <v>22</v>
      </c>
      <c r="B25" s="6" t="inlineStr">
        <is>
          <t>物流</t>
        </is>
      </c>
      <c r="C25" s="16" t="inlineStr">
        <is>
          <t>账户被冻结在哪里看处理进度</t>
        </is>
      </c>
      <c r="D25" s="16" t="inlineStr">
        <is>
          <t>未给进度查询入口，转为查询该账户冻结状态、要求提供身份信息。</t>
        </is>
      </c>
      <c r="E25" s="6" t="inlineStr">
        <is>
          <t>答偏</t>
        </is>
      </c>
      <c r="F25" s="6" t="inlineStr">
        <is>
          <t>意图识别错</t>
        </is>
      </c>
      <c r="G25" s="16" t="inlineStr">
        <is>
          <t>问「在哪里看」被当成账户核验。应先给「账户与安全/客服工单」的进度入口。判定标准确认为「用户问的那件事有没有被回答」——查账户动作本身合理，但本条没回答「在哪里看」。</t>
        </is>
      </c>
    </row>
    <row r="26">
      <c r="A26" s="6">
        <f>ROW()-3</f>
        <v>23</v>
      </c>
      <c r="B26" s="6" t="inlineStr">
        <is>
          <t>物流</t>
        </is>
      </c>
      <c r="C26" s="16" t="inlineStr">
        <is>
          <t>账户解冻需要提供什么材料</t>
        </is>
      </c>
      <c r="D26" s="16" t="inlineStr">
        <is>
          <t>与上一轮答复高度相似，未列出所需材料清单。</t>
        </is>
      </c>
      <c r="E26" s="6" t="inlineStr">
        <is>
          <t>答偏</t>
        </is>
      </c>
      <c r="F26" s="6" t="inlineStr">
        <is>
          <t>意图识别错</t>
        </is>
      </c>
      <c r="G26" s="16" t="inlineStr">
        <is>
          <t>用户反馈「与上方相似」。应先给材料清单（身份证、交易凭证等）再谈流程。模板复用导致答非所问。</t>
        </is>
      </c>
    </row>
    <row r="27">
      <c r="A27" s="6">
        <f>ROW()-3</f>
        <v>24</v>
      </c>
      <c r="B27" s="6" t="inlineStr">
        <is>
          <t>催件</t>
        </is>
      </c>
      <c r="C27" s="16" t="inlineStr">
        <is>
          <t>投诉之后多久会有回复</t>
        </is>
      </c>
      <c r="D27" s="16" t="inlineStr">
        <is>
          <t>未给时间承诺，直接弹出人工客服入口，未作答。</t>
        </is>
      </c>
      <c r="E27" s="6" t="inlineStr">
        <is>
          <t>答偏</t>
        </is>
      </c>
      <c r="F27" s="6" t="inlineStr">
        <is>
          <t>知识库缺失</t>
        </is>
      </c>
      <c r="G27" s="16" t="inlineStr">
        <is>
          <t>属体面降级——转人工优于答非所问，不算严重缺陷，但首次解决率受损，需补时效类语料。对照第28题同类问句给出了完整分档时长，证明能力具备、覆盖不全。</t>
        </is>
      </c>
    </row>
    <row r="28">
      <c r="A28" s="6">
        <f>ROW()-3</f>
        <v>25</v>
      </c>
      <c r="B28" s="6" t="inlineStr">
        <is>
          <t>催件</t>
        </is>
      </c>
      <c r="C28" s="16" t="inlineStr">
        <is>
          <t>转人工客服要怎么操作</t>
        </is>
      </c>
      <c r="D28" s="16" t="inlineStr">
        <is>
          <t>弹出人工客服选项/入口，满足用户诉求。</t>
        </is>
      </c>
      <c r="E28" s="6" t="inlineStr">
        <is>
          <t>答对</t>
        </is>
      </c>
      <c r="F28" s="6" t="inlineStr">
        <is>
          <t>不适用</t>
        </is>
      </c>
      <c r="G28" s="16" t="inlineStr">
        <is>
          <t>用户诉求就是找人工入口，弹出即算答对。判定看「诉求是否被满足」，不看回复长短。</t>
        </is>
      </c>
    </row>
    <row r="29">
      <c r="A29" s="6">
        <f>ROW()-3</f>
        <v>26</v>
      </c>
      <c r="B29" s="6" t="inlineStr">
        <is>
          <t>催件</t>
        </is>
      </c>
      <c r="C29" s="16" t="inlineStr">
        <is>
          <t>反馈的问题一直没处理怎么办</t>
        </is>
      </c>
      <c r="D29" s="16" t="inlineStr">
        <is>
          <t>给出催办路径与升级渠道，答复有实质内容。</t>
        </is>
      </c>
      <c r="E29" s="6" t="inlineStr">
        <is>
          <t>答对</t>
        </is>
      </c>
      <c r="F29" s="6" t="inlineStr">
        <is>
          <t>不适用</t>
        </is>
      </c>
      <c r="G29" s="16" t="inlineStr">
        <is>
          <t>此前误判为「长会话降质」，本条证伪该假设，已修正为「投诉话题的策略性兜底，不算缺陷」。</t>
        </is>
      </c>
    </row>
    <row r="30">
      <c r="A30" s="6">
        <f>ROW()-3</f>
        <v>27</v>
      </c>
      <c r="B30" s="6" t="inlineStr">
        <is>
          <t>催件</t>
        </is>
      </c>
      <c r="C30" s="16" t="inlineStr">
        <is>
          <t>被盗刷的钱多久能追回</t>
        </is>
      </c>
      <c r="D30" s="16" t="inlineStr">
        <is>
          <t>给出报案/申诉路径与大致处理周期，方向正确，未直接承诺时限。</t>
        </is>
      </c>
      <c r="E30" s="6" t="inlineStr">
        <is>
          <t>答对</t>
        </is>
      </c>
      <c r="F30" s="6" t="inlineStr">
        <is>
          <t>不适用</t>
        </is>
      </c>
      <c r="G30" s="16" t="inlineStr">
        <is>
          <t>此前把规律误判为「含事件词则走查询分支」，本条证伪，已修正为「表现取决于问句命中的预设分支」。</t>
        </is>
      </c>
    </row>
    <row r="31">
      <c r="A31" s="6">
        <f>ROW()-3</f>
        <v>28</v>
      </c>
      <c r="B31" s="6" t="inlineStr">
        <is>
          <t>催件</t>
        </is>
      </c>
      <c r="C31" s="16" t="inlineStr">
        <is>
          <t>交易异常申诉一般要等多久</t>
        </is>
      </c>
      <c r="D31" s="16" t="inlineStr">
        <is>
          <t>分类分档给时长：反馈/投诉类商家48小时未回复则专员介入；信用服务类5–10个工作日。并解释「需商家协商故需周期」，附芝麻守约查进度路径。末尾有「AI生成」标识。</t>
        </is>
      </c>
      <c r="E31" s="6" t="inlineStr">
        <is>
          <t>答对</t>
        </is>
      </c>
      <c r="F31" s="6" t="inlineStr">
        <is>
          <t>不适用</t>
        </is>
      </c>
      <c r="G31" s="16" t="inlineStr">
        <is>
          <t>本轮结构最完整的一条：时长+原因+自助路径三件齐全，命中「条件→结果」结构。与第24题同类问题两种结果，说明瓶颈在编排一致性而非知识覆盖。</t>
        </is>
      </c>
    </row>
    <row r="32">
      <c r="A32" s="6">
        <f>ROW()-3</f>
        <v>29</v>
      </c>
      <c r="B32" s="6" t="inlineStr">
        <is>
          <t>催件</t>
        </is>
      </c>
      <c r="C32" s="16" t="inlineStr">
        <is>
          <t>客服工单在哪里查询进度</t>
        </is>
      </c>
      <c r="D32" s="16" t="inlineStr">
        <is>
          <t>给出完整路径：我的→设置→我的客服→右上角「…」→服务进度；并提供快捷入口「查询服务进度」。</t>
        </is>
      </c>
      <c r="E32" s="6" t="inlineStr">
        <is>
          <t>答对</t>
        </is>
      </c>
      <c r="F32" s="6" t="inlineStr">
        <is>
          <t>不适用</t>
        </is>
      </c>
      <c r="G32" s="16" t="inlineStr">
        <is>
          <t>路径清晰无歧义，直接可用。</t>
        </is>
      </c>
    </row>
    <row r="33">
      <c r="A33" s="6">
        <f>ROW()-3</f>
        <v>30</v>
      </c>
      <c r="B33" s="6" t="inlineStr">
        <is>
          <t>催件</t>
        </is>
      </c>
      <c r="C33" s="16" t="inlineStr">
        <is>
          <t>举报之后多久会有处理结果</t>
        </is>
      </c>
      <c r="D33" s="16" t="inlineStr">
        <is>
          <t>明确24小时内完成审核，通过【服务提醒】反馈结果；可在【支付宝举报中心】查记录与结果；不认可可补充凭证申请重审。</t>
        </is>
      </c>
      <c r="E33" s="6" t="inlineStr">
        <is>
          <t>答对</t>
        </is>
      </c>
      <c r="F33" s="6" t="inlineStr">
        <is>
          <t>不适用</t>
        </is>
      </c>
      <c r="G33" s="16" t="inlineStr">
        <is>
          <t>时限+反馈方式+查询入口+申诉兜底，四要素齐全，可作时效类问题的正面模板。</t>
        </is>
      </c>
    </row>
  </sheetData>
  <autoFilter ref="A3:G33"/>
  <mergeCells count="1">
    <mergeCell ref="A1:G1"/>
  </mergeCells>
  <conditionalFormatting sqref="E4:E33">
    <cfRule type="cellIs" priority="1" operator="equal" dxfId="0">
      <formula>"答偏"</formula>
    </cfRule>
    <cfRule type="cellIs" priority="2" operator="equal" dxfId="1">
      <formula>"答对"</formula>
    </cfRule>
  </conditionalFormatting>
  <conditionalFormatting sqref="F4:F33">
    <cfRule type="cellIs" priority="3" operator="notEqual" dxfId="2">
      <formula>"不适用"</formula>
    </cfRule>
  </conditionalFormatting>
  <dataValidations count="3">
    <dataValidation sqref="B4:B33" showDropDown="0" showInputMessage="0" showErrorMessage="0" allowBlank="1" type="list">
      <formula1>"退款,改单,物流,催件"</formula1>
    </dataValidation>
    <dataValidation sqref="E4:E33" showDropDown="0" showInputMessage="0" showErrorMessage="0" allowBlank="1" type="list">
      <formula1>"答对,答偏"</formula1>
    </dataValidation>
    <dataValidation sqref="F4:F33" showDropDown="0" showInputMessage="0" showErrorMessage="0" allowBlank="1" type="list">
      <formula1>"语料未覆盖,知识库缺失,意图识别错,不适用"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6" customWidth="1" min="1" max="1"/>
    <col width="86" customWidth="1" min="2" max="2"/>
  </cols>
  <sheetData>
    <row r="1" ht="30" customHeight="1">
      <c r="A1" s="11" t="inlineStr">
        <is>
          <t>AI 客服应答实测 · 操作说明</t>
        </is>
      </c>
      <c r="B1" s="12" t="n"/>
    </row>
    <row r="3" ht="22" customHeight="1">
      <c r="A3" s="17" t="inlineStr">
        <is>
          <t>一、开测前</t>
        </is>
      </c>
    </row>
    <row r="4" ht="34" customHeight="1">
      <c r="A4" s="18" t="inlineStr">
        <is>
          <t>1</t>
        </is>
      </c>
      <c r="B4" s="19" t="inlineStr">
        <is>
          <t>打开支付宝 App → 我的 → 我的客服，进对话框后直接打字提问，不要点它推的常见问题。要用有业务知识库的那种，不要拿通用聊天助手凑。</t>
        </is>
      </c>
    </row>
    <row r="5" ht="34" customHeight="1">
      <c r="A5" s="18" t="inlineStr">
        <is>
          <t>2</t>
        </is>
      </c>
      <c r="B5" s="19" t="inlineStr">
        <is>
          <t>在「实测记录」表顶部填上被测平台（支付宝「我的客服」）和测试日期。</t>
        </is>
      </c>
    </row>
    <row r="6" ht="22" customHeight="1">
      <c r="A6" s="17" t="inlineStr">
        <is>
          <t>二、怎么测（约 2 小时）</t>
        </is>
      </c>
    </row>
    <row r="7" ht="34" customHeight="1">
      <c r="A7" s="18" t="inlineStr">
        <is>
          <t>3</t>
        </is>
      </c>
      <c r="B7" s="19" t="inlineStr">
        <is>
          <t>30 个问题已经预填在「实测记录」里，都是问支付和账户规则的，不需要交易单号，直接复制粘贴到客服输入框就能问。</t>
        </is>
      </c>
    </row>
    <row r="8" ht="34" customHeight="1">
      <c r="A8" s="18" t="inlineStr">
        <is>
          <t>4</t>
        </is>
      </c>
      <c r="B8" s="19" t="inlineStr">
        <is>
          <t>每问一句，就把 AI 的回复复制到「AI 的回答（摘要）」列，太长截前两三句。</t>
        </is>
      </c>
    </row>
    <row r="9" ht="34" customHeight="1">
      <c r="A9" s="18" t="inlineStr">
        <is>
          <t>5</t>
        </is>
      </c>
      <c r="B9" s="19" t="inlineStr">
        <is>
          <t>判断这轮是「答对」还是「答偏」，在「结果」列下拉选。判断标准：能不能解决你问的那件事。</t>
        </is>
      </c>
    </row>
    <row r="10" ht="34" customHeight="1">
      <c r="A10" s="18" t="inlineStr">
        <is>
          <t>6</t>
        </is>
      </c>
      <c r="B10" s="19" t="inlineStr">
        <is>
          <t>答偏的，在「错因分类」列选三类之一，在最后一列写下你自己的判断和更好的答法。</t>
        </is>
      </c>
    </row>
    <row r="11" ht="22" customHeight="1">
      <c r="A11" s="17" t="inlineStr">
        <is>
          <t>三、三类错因怎么区分</t>
        </is>
      </c>
    </row>
    <row r="12" ht="34" customHeight="1">
      <c r="A12" s="18" t="inlineStr">
        <is>
          <t>语料未覆盖</t>
        </is>
      </c>
      <c r="B12" s="19" t="inlineStr">
        <is>
          <t>AI 答得通顺、态度也好，但答的不是你问的那件事。它没见过这种问法的语料。</t>
        </is>
      </c>
    </row>
    <row r="13" ht="34" customHeight="1">
      <c r="A13" s="18" t="inlineStr">
        <is>
          <t>知识库缺失</t>
        </is>
      </c>
      <c r="B13" s="19" t="inlineStr">
        <is>
          <t>AI 明说“这个我不清楚”“建议联系人工客服”。知识库里压根没有这条内容。</t>
        </is>
      </c>
    </row>
    <row r="14" ht="34" customHeight="1">
      <c r="A14" s="18" t="inlineStr">
        <is>
          <t>意图识别错</t>
        </is>
      </c>
      <c r="B14" s="19" t="inlineStr">
        <is>
          <t>AI 把你的问题理解成了另一件事，答得很认真，但方向一开始就错了。</t>
        </is>
      </c>
    </row>
    <row r="15" ht="22" customHeight="1">
      <c r="A15" s="17" t="inlineStr">
        <is>
          <t>四、做完之后</t>
        </is>
      </c>
    </row>
    <row r="16" ht="34" customHeight="1">
      <c r="A16" s="18" t="inlineStr">
        <is>
          <t>7</t>
        </is>
      </c>
      <c r="B16" s="19" t="inlineStr">
        <is>
          <t>「统计」表会自动算出：已完成判定轮数、答偏例数、答偏率、三类归因各多少、哪类场景最容易错。不用自己算。</t>
        </is>
      </c>
    </row>
    <row r="17" ht="34" customHeight="1">
      <c r="A17" s="18" t="inlineStr">
        <is>
          <t>8</t>
        </is>
      </c>
      <c r="B17" s="19" t="inlineStr">
        <is>
          <t>把统计出来的数字填进简历里那几个红色【填】。</t>
        </is>
      </c>
    </row>
    <row r="18" ht="34" customHeight="1">
      <c r="A18" s="18" t="inlineStr">
        <is>
          <t>9</t>
        </is>
      </c>
      <c r="B18" s="19" t="inlineStr">
        <is>
          <t>截图或录屏留证。面试里说“我实测了 30 轮”，得拿得出东西。</t>
        </is>
      </c>
    </row>
    <row r="19" ht="22" customHeight="1">
      <c r="A19" s="17" t="inlineStr">
        <is>
          <t>五、注意</t>
        </is>
      </c>
    </row>
    <row r="20" ht="34" customHeight="1">
      <c r="A20" s="18" t="inlineStr">
        <is>
          <t>10</t>
        </is>
      </c>
      <c r="B20" s="19" t="inlineStr">
        <is>
          <t>答偏率不用美化。30 轮答偏 9 轮就写 9 轮（本次实测结果）。AI 面会顺着你简历上的数字追问，编的数字一问就穿帮。</t>
        </is>
      </c>
    </row>
    <row r="21" ht="34" customHeight="1">
      <c r="A21" s="18" t="inlineStr">
        <is>
          <t>11</t>
        </is>
      </c>
      <c r="B21" s="19" t="inlineStr">
        <is>
          <t>同一句话不要问两遍，重复提问不算新样本。</t>
        </is>
      </c>
    </row>
    <row r="22" ht="34" customHeight="1">
      <c r="A22" s="18" t="inlineStr">
        <is>
          <t>12</t>
        </is>
      </c>
      <c r="B22" s="19" t="inlineStr">
        <is>
          <t>场景名统一用「退款 / 改单 / 物流 / 催件」这四个词，不然统计表的公式对不上。在支付宝里对应：转账与退款到账→退款、改绑定与改设置→改单、账户状态与审核进度→物流、工单催办与投诉→催件。</t>
        </is>
      </c>
    </row>
    <row r="23" ht="34" customHeight="1">
      <c r="A23" s="18" t="inlineStr">
        <is>
          <t>13</t>
        </is>
      </c>
      <c r="B23" s="19" t="inlineStr">
        <is>
          <t>最后一列别空着。面试官问“你怎么知道是意图识别错”，答案就在你自己写的判断里。</t>
        </is>
      </c>
    </row>
    <row r="24" ht="34" customHeight="1">
      <c r="A24" s="18" t="inlineStr">
        <is>
          <t>14</t>
        </is>
      </c>
      <c r="B24" s="19" t="inlineStr">
        <is>
          <t>如果 AI 一句不答就把你转人工，这轮记「知识库缺失」，在最后一列注明“直接转人工”。</t>
        </is>
      </c>
    </row>
    <row r="25" ht="22" customHeight="1">
      <c r="A25" s="17" t="inlineStr">
        <is>
          <t>六、这些问题为什么不用交易单号</t>
        </is>
      </c>
    </row>
    <row r="26" ht="34" customHeight="1">
      <c r="A26" s="18" t="inlineStr">
        <is>
          <t>15</t>
        </is>
      </c>
      <c r="B26" s="19" t="inlineStr">
        <is>
          <t>这 30 条问的都是通用规则——多久到账、能不能改、要哪些材料。客服答这些不用看你的账单，所以可以直接在客服输入框里问，不用先交易、也不用报流水号。</t>
        </is>
      </c>
    </row>
    <row r="27" ht="34" customHeight="1">
      <c r="A27" s="18" t="inlineStr">
        <is>
          <t>16</t>
        </is>
      </c>
      <c r="B27" s="19" t="inlineStr">
        <is>
          <t>万一某一条客服非要交易单号，直接跳过，在最后一列写“要单号，未答”。别为了一两条去折腾，30 条里有 25 条以上都是能直接答的。</t>
        </is>
      </c>
    </row>
    <row r="28" ht="22" customHeight="1">
      <c r="A28" s="17" t="inlineStr">
        <is>
          <t>七、实测结论（2026-09-29 已完成 30 轮）</t>
        </is>
      </c>
    </row>
    <row r="29" ht="34" customHeight="1">
      <c r="A29" s="18" t="inlineStr">
        <is>
          <t>17</t>
        </is>
      </c>
      <c r="B29" s="19" t="inlineStr">
        <is>
          <t>总成绩：30 轮答对 21、答偏 9，答偏率 30.0%。</t>
        </is>
      </c>
    </row>
    <row r="30" ht="34" customHeight="1">
      <c r="A30" s="18" t="inlineStr">
        <is>
          <t>18</t>
        </is>
      </c>
      <c r="B30" s="19" t="inlineStr">
        <is>
          <t>场景差异：物流 57.1%（最高，7 轮偏 4）＞ 退款 37.5%（8 轮偏 3）＞ 催件 14.3%（7 轮偏 1）＞ 改单 12.5%（8 轮偏 1）。</t>
        </is>
      </c>
    </row>
    <row r="31" ht="34" customHeight="1">
      <c r="A31" s="18" t="inlineStr">
        <is>
          <t>19</t>
        </is>
      </c>
      <c r="B31" s="19" t="inlineStr">
        <is>
          <t>错因分布：意图识别错 7、语料未覆盖 1、知识库缺失 1。七成集中在「把规则问句误导向个人数据查询」这一个路由偏差上。</t>
        </is>
      </c>
    </row>
    <row r="32" ht="34" customHeight="1">
      <c r="A32" s="18" t="inlineStr">
        <is>
          <t>20</t>
        </is>
      </c>
      <c r="B32" s="19" t="inlineStr">
        <is>
          <t>核心结论：知识层覆盖充足（同一知识换个问法就能答对，交叉验证 3 次）；瓶颈在应答编排层——结论位置不固定、规则与数据先后不统一、失败时的澄清方式不一致。</t>
        </is>
      </c>
    </row>
    <row r="33" ht="34" customHeight="1">
      <c r="A33" s="18" t="inlineStr">
        <is>
          <t>21</t>
        </is>
      </c>
      <c r="B33" s="19" t="inlineStr">
        <is>
          <t>改进建议：把高频动作类问句统一改写成「条件 → 结果」分支结构（它自己在第3、4、14、28、30 题已经是这种结构，证明能力具备，只是没铺满）。</t>
        </is>
      </c>
    </row>
    <row r="34" ht="34" customHeight="1">
      <c r="A34" s="18" t="inlineStr">
        <is>
          <t>22</t>
        </is>
      </c>
      <c r="B34" s="19" t="inlineStr">
        <is>
          <t>正面样本：第 3、4、14、28、30 题。反面样本：第 1、8、18、19、22、23 题（同一路由偏差）。可直接用于面试举证。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AI客服应答实测记录表</dc:title>
  <dcterms:created xmlns:dcterms="http://purl.org/dc/terms/" xmlns:xsi="http://www.w3.org/2001/XMLSchema-instance" xsi:type="dcterms:W3CDTF">2026-09-29T05:34:49Z</dcterms:created>
  <dcterms:modified xmlns:dcterms="http://purl.org/dc/terms/" xmlns:xsi="http://www.w3.org/2001/XMLSchema-instance" xsi:type="dcterms:W3CDTF">2026-09-29T05:34:49Z</dcterms:modified>
</cp:coreProperties>
</file>